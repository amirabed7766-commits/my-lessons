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93be83c34dda1/Desktop/exel/"/>
    </mc:Choice>
  </mc:AlternateContent>
  <xr:revisionPtr revIDLastSave="13" documentId="8_{49E9517A-44F0-44CA-8B6E-5E0F876A9642}" xr6:coauthVersionLast="47" xr6:coauthVersionMax="47" xr10:uidLastSave="{2EA91178-54F0-495C-B44C-5F3AA6DBC196}"/>
  <bookViews>
    <workbookView xWindow="-103" yWindow="-103" windowWidth="19543" windowHeight="12377" activeTab="3" xr2:uid="{DA244987-78A9-4AE9-A14F-A3F3108B192F}"/>
  </bookViews>
  <sheets>
    <sheet name="Sheet1" sheetId="1" r:id="rId1"/>
    <sheet name="قیمت تمام شده" sheetId="2" r:id="rId2"/>
    <sheet name="حق‌الزحمه" sheetId="4" r:id="rId3"/>
    <sheet name=" فاکتور فروش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12" i="6"/>
  <c r="E11" i="6"/>
  <c r="E4" i="6"/>
  <c r="E5" i="6"/>
  <c r="E3" i="6"/>
  <c r="D5" i="4"/>
  <c r="D6" i="4"/>
  <c r="D7" i="4"/>
  <c r="D4" i="4"/>
  <c r="E10" i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2" i="2"/>
  <c r="G2" i="2" s="1"/>
</calcChain>
</file>

<file path=xl/sharedStrings.xml><?xml version="1.0" encoding="utf-8"?>
<sst xmlns="http://schemas.openxmlformats.org/spreadsheetml/2006/main" count="89" uniqueCount="58">
  <si>
    <t>ردیف</t>
  </si>
  <si>
    <t xml:space="preserve">نام محصول </t>
  </si>
  <si>
    <t>شلف دیواری مدل L</t>
  </si>
  <si>
    <t>شلف دیواری مدل WT</t>
  </si>
  <si>
    <t>طبقه دیواری مجموعه سه عددی مدل Z20</t>
  </si>
  <si>
    <t>روپوش کارگاهی زنانه مدل گیتی</t>
  </si>
  <si>
    <t>روپوش کارگاهی زنانه مدل زرین</t>
  </si>
  <si>
    <t>روپوش کارگاهی مردانه 001</t>
  </si>
  <si>
    <t>روپوش کارگاهی مردانه 002</t>
  </si>
  <si>
    <t>ست روپوش و شلوار زنانه مدل پاس</t>
  </si>
  <si>
    <t>کد محصول</t>
  </si>
  <si>
    <t>001</t>
  </si>
  <si>
    <t>003</t>
  </si>
  <si>
    <t>004</t>
  </si>
  <si>
    <t>005</t>
  </si>
  <si>
    <t>006</t>
  </si>
  <si>
    <t>007</t>
  </si>
  <si>
    <t>008</t>
  </si>
  <si>
    <t>002</t>
  </si>
  <si>
    <t>صابری</t>
  </si>
  <si>
    <t>هاشمی</t>
  </si>
  <si>
    <t>هاشم پور</t>
  </si>
  <si>
    <t>قیمت پیش‌بینی شده</t>
  </si>
  <si>
    <t>رشته ارائه دهنده</t>
  </si>
  <si>
    <t>معماری‌داخلی</t>
  </si>
  <si>
    <t>طراحی‌دوخت</t>
  </si>
  <si>
    <r>
      <rPr>
        <b/>
        <sz val="11"/>
        <color theme="1"/>
        <rFont val="Aptos Narrow"/>
        <family val="2"/>
        <scheme val="minor"/>
      </rPr>
      <t>هنر‌آموز ناظر</t>
    </r>
    <r>
      <rPr>
        <sz val="11"/>
        <color theme="1"/>
        <rFont val="Aptos Narrow"/>
        <family val="2"/>
        <scheme val="minor"/>
      </rPr>
      <t xml:space="preserve"> </t>
    </r>
  </si>
  <si>
    <t>رشته تولید‌کننده</t>
  </si>
  <si>
    <t xml:space="preserve">هزینه دستمزد </t>
  </si>
  <si>
    <t>هزینه‌های سربار</t>
  </si>
  <si>
    <t>قیمت تمام شده</t>
  </si>
  <si>
    <t>قیمت نهایی</t>
  </si>
  <si>
    <t>هزینه مواد اولیه</t>
  </si>
  <si>
    <t>قیمت تمام شده!</t>
  </si>
  <si>
    <t>لیست حق‌الزحمه</t>
  </si>
  <si>
    <t>نام‌و‌نام‌خانوادگی</t>
  </si>
  <si>
    <t>ساعات کارکرد</t>
  </si>
  <si>
    <t>حق‌الزحمه ساعتی</t>
  </si>
  <si>
    <t>حق‌الزحمه پرداختی</t>
  </si>
  <si>
    <t>پرنیا اکبری</t>
  </si>
  <si>
    <t>رومینا صالحی</t>
  </si>
  <si>
    <t>مینا آریان پور</t>
  </si>
  <si>
    <t>میزان مالیات</t>
  </si>
  <si>
    <t>تهمینه دماوندی</t>
  </si>
  <si>
    <t>فاکتور فروش</t>
  </si>
  <si>
    <t xml:space="preserve">نام کالا </t>
  </si>
  <si>
    <t xml:space="preserve">تعداد </t>
  </si>
  <si>
    <t>قیمت واحد</t>
  </si>
  <si>
    <t>قیمت کل</t>
  </si>
  <si>
    <t>ماگ فانتزی</t>
  </si>
  <si>
    <t>گل سر زرین چفتی</t>
  </si>
  <si>
    <t>جمع کل</t>
  </si>
  <si>
    <t>درصد تخفیف</t>
  </si>
  <si>
    <t>مبلغ قابل پرداخت</t>
  </si>
  <si>
    <t>نام مشتری</t>
  </si>
  <si>
    <t>شماره فاکتور</t>
  </si>
  <si>
    <t>تاریخ</t>
  </si>
  <si>
    <t>شلف دیواری مدلWT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</si>
</sst>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-[$ريال-429]_ ;_ * #,##0.00\-[$ريال-429]_ ;_ * &quot;-&quot;??_-[$ريال-429]_ ;_ @_ "/>
    <numFmt numFmtId="167" formatCode="_ * #,##0_-[$ريال-429]_ ;_ * #,##0\-[$ريال-429]_ ;_ * &quot;-&quot;??_-[$ريال-429]_ ;_ @_ "/>
    <numFmt numFmtId="168" formatCode="[$-3000401]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3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1" applyNumberFormat="1" applyFont="1"/>
    <xf numFmtId="41" fontId="0" fillId="0" borderId="0" xfId="1" applyNumberFormat="1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" xfId="0" applyBorder="1"/>
    <xf numFmtId="0" fontId="0" fillId="0" borderId="8" xfId="0" applyBorder="1"/>
    <xf numFmtId="0" fontId="4" fillId="0" borderId="1" xfId="0" quotePrefix="1" applyFont="1" applyBorder="1"/>
    <xf numFmtId="0" fontId="0" fillId="0" borderId="9" xfId="0" applyBorder="1"/>
    <xf numFmtId="164" fontId="0" fillId="0" borderId="6" xfId="0" applyNumberFormat="1" applyBorder="1"/>
    <xf numFmtId="167" fontId="4" fillId="0" borderId="1" xfId="1" applyNumberFormat="1" applyFont="1" applyBorder="1"/>
    <xf numFmtId="167" fontId="4" fillId="0" borderId="1" xfId="0" applyNumberFormat="1" applyFont="1" applyBorder="1"/>
    <xf numFmtId="167" fontId="4" fillId="0" borderId="6" xfId="1" applyNumberFormat="1" applyFont="1" applyBorder="1"/>
    <xf numFmtId="0" fontId="0" fillId="0" borderId="6" xfId="0" applyBorder="1"/>
    <xf numFmtId="165" fontId="0" fillId="0" borderId="5" xfId="0" applyNumberFormat="1" applyBorder="1"/>
    <xf numFmtId="165" fontId="0" fillId="0" borderId="7" xfId="0" applyNumberFormat="1" applyBorder="1"/>
    <xf numFmtId="0" fontId="0" fillId="3" borderId="10" xfId="0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166" fontId="0" fillId="0" borderId="10" xfId="1" applyNumberFormat="1" applyFont="1" applyBorder="1"/>
    <xf numFmtId="0" fontId="0" fillId="5" borderId="10" xfId="0" applyFill="1" applyBorder="1"/>
    <xf numFmtId="9" fontId="0" fillId="5" borderId="10" xfId="0" applyNumberFormat="1" applyFill="1" applyBorder="1" applyAlignment="1">
      <alignment horizontal="center"/>
    </xf>
    <xf numFmtId="166" fontId="0" fillId="0" borderId="0" xfId="0" applyNumberFormat="1"/>
    <xf numFmtId="166" fontId="0" fillId="0" borderId="10" xfId="0" applyNumberFormat="1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68" fontId="0" fillId="0" borderId="11" xfId="0" applyNumberFormat="1" applyBorder="1"/>
    <xf numFmtId="0" fontId="0" fillId="0" borderId="11" xfId="0" applyBorder="1"/>
    <xf numFmtId="0" fontId="4" fillId="0" borderId="11" xfId="0" applyFont="1" applyBorder="1"/>
    <xf numFmtId="0" fontId="0" fillId="7" borderId="1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43" fontId="4" fillId="0" borderId="11" xfId="1" applyNumberFormat="1" applyFont="1" applyBorder="1"/>
    <xf numFmtId="164" fontId="4" fillId="0" borderId="11" xfId="1" applyNumberFormat="1" applyFont="1" applyBorder="1" applyAlignment="1">
      <alignment horizontal="center"/>
    </xf>
    <xf numFmtId="164" fontId="4" fillId="0" borderId="11" xfId="1" applyNumberFormat="1" applyFont="1" applyBorder="1"/>
  </cellXfs>
  <cellStyles count="2">
    <cellStyle name="Comma" xfId="1" builtinId="3"/>
    <cellStyle name="Normal" xfId="0" builtinId="0"/>
  </cellStyles>
  <dxfs count="11">
    <dxf>
      <numFmt numFmtId="165" formatCode="_(* #,##0.0_);_(* \(#,##0.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33"/>
      <color rgb="FFCCFFFF"/>
      <color rgb="FFCCECFF"/>
      <color rgb="FFCCFF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3FB2B-FEE9-4750-84CF-0812E1385469}" name="Table1" displayName="Table1" ref="A1:G12" totalsRowShown="0" headerRowDxfId="10" headerRowBorderDxfId="9" tableBorderDxfId="8" totalsRowBorderDxfId="7">
  <autoFilter ref="A1:G12" xr:uid="{40A3FB2B-FEE9-4750-84CF-0812E1385469}"/>
  <tableColumns count="7">
    <tableColumn id="1" xr3:uid="{E36777F4-816B-462B-BE83-090A3DD95026}" name="رشته تولید‌کننده" dataDxfId="6"/>
    <tableColumn id="2" xr3:uid="{E4DE22FB-6971-4490-A019-8B4D7C0ADA39}" name="کد محصول" dataDxfId="5"/>
    <tableColumn id="3" xr3:uid="{0E9669C2-AF5C-4378-BD8C-30EB66A161AA}" name="هزینه مواد اولیه" dataDxfId="4"/>
    <tableColumn id="4" xr3:uid="{DDB4C733-7A67-4666-A915-2FE42DEF2FB4}" name="هزینه دستمزد " dataDxfId="3"/>
    <tableColumn id="5" xr3:uid="{2619D7F3-656A-483C-8C84-CB3798DA1215}" name="هزینه‌های سربار" dataDxfId="2"/>
    <tableColumn id="6" xr3:uid="{0407B837-5556-4E81-9A6F-F453AB12A24D}" name="قیمت تمام شده" dataDxfId="1">
      <calculatedColumnFormula>SUM(Table1[[#This Row],[هزینه دستمزد ]:[هزینه‌های سربار]])</calculatedColumnFormula>
    </tableColumn>
    <tableColumn id="7" xr3:uid="{BE21223F-236F-4287-96EF-C7DAA9F9151A}" name="قیمت نهایی" dataDxfId="0">
      <calculatedColumnFormula>Table1[[#This Row],[قیمت تمام شده]]+(Table1[[#This Row],[قیمت تمام شده]]*0.1)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C338-0CFD-4F76-83D4-DD48E9DA4C0D}">
  <dimension ref="A1:I10"/>
  <sheetViews>
    <sheetView rightToLeft="1" zoomScale="115" workbookViewId="0">
      <selection activeCell="E10" sqref="E10"/>
    </sheetView>
  </sheetViews>
  <sheetFormatPr defaultRowHeight="14.6" x14ac:dyDescent="0.4"/>
  <cols>
    <col min="1" max="1" width="5.23046875" customWidth="1"/>
    <col min="2" max="2" width="29.3828125" customWidth="1"/>
    <col min="3" max="3" width="10.07421875" customWidth="1"/>
    <col min="4" max="4" width="10.3046875" customWidth="1"/>
    <col min="5" max="5" width="21.3046875" customWidth="1"/>
    <col min="6" max="6" width="12.69140625" customWidth="1"/>
    <col min="8" max="8" width="15.69140625" customWidth="1"/>
  </cols>
  <sheetData>
    <row r="1" spans="1:9" x14ac:dyDescent="0.4">
      <c r="A1" t="s">
        <v>0</v>
      </c>
      <c r="B1" t="s">
        <v>1</v>
      </c>
      <c r="C1" s="1" t="s">
        <v>10</v>
      </c>
      <c r="D1" t="s">
        <v>26</v>
      </c>
      <c r="E1" s="1" t="s">
        <v>22</v>
      </c>
      <c r="F1" s="1" t="s">
        <v>23</v>
      </c>
      <c r="I1" t="s">
        <v>33</v>
      </c>
    </row>
    <row r="2" spans="1:9" x14ac:dyDescent="0.4">
      <c r="A2">
        <v>1</v>
      </c>
      <c r="B2" t="s">
        <v>2</v>
      </c>
      <c r="C2" s="2" t="s">
        <v>11</v>
      </c>
      <c r="D2" t="s">
        <v>19</v>
      </c>
      <c r="E2" s="3">
        <v>130000</v>
      </c>
      <c r="F2" t="s">
        <v>24</v>
      </c>
    </row>
    <row r="3" spans="1:9" x14ac:dyDescent="0.4">
      <c r="A3">
        <v>2</v>
      </c>
      <c r="B3" t="s">
        <v>3</v>
      </c>
      <c r="C3" s="2" t="s">
        <v>18</v>
      </c>
      <c r="D3" t="s">
        <v>19</v>
      </c>
      <c r="E3" s="3">
        <v>150000</v>
      </c>
      <c r="F3" t="s">
        <v>24</v>
      </c>
      <c r="H3" t="s">
        <v>30</v>
      </c>
    </row>
    <row r="4" spans="1:9" x14ac:dyDescent="0.4">
      <c r="A4">
        <v>3</v>
      </c>
      <c r="B4" t="s">
        <v>4</v>
      </c>
      <c r="C4" s="2" t="s">
        <v>12</v>
      </c>
      <c r="D4" t="s">
        <v>19</v>
      </c>
      <c r="E4" s="3">
        <v>170000</v>
      </c>
      <c r="F4" t="s">
        <v>24</v>
      </c>
    </row>
    <row r="5" spans="1:9" x14ac:dyDescent="0.4">
      <c r="A5">
        <v>4</v>
      </c>
      <c r="B5" t="s">
        <v>5</v>
      </c>
      <c r="C5" s="2" t="s">
        <v>13</v>
      </c>
      <c r="D5" t="s">
        <v>20</v>
      </c>
      <c r="E5" s="3">
        <v>350000</v>
      </c>
      <c r="F5" t="s">
        <v>25</v>
      </c>
    </row>
    <row r="6" spans="1:9" x14ac:dyDescent="0.4">
      <c r="A6">
        <v>5</v>
      </c>
      <c r="B6" t="s">
        <v>6</v>
      </c>
      <c r="C6" s="2" t="s">
        <v>14</v>
      </c>
      <c r="D6" t="s">
        <v>20</v>
      </c>
      <c r="E6" s="3">
        <v>290000</v>
      </c>
      <c r="F6" t="s">
        <v>25</v>
      </c>
    </row>
    <row r="7" spans="1:9" x14ac:dyDescent="0.4">
      <c r="A7">
        <v>6</v>
      </c>
      <c r="B7" t="s">
        <v>7</v>
      </c>
      <c r="C7" s="2" t="s">
        <v>15</v>
      </c>
      <c r="D7" t="s">
        <v>20</v>
      </c>
      <c r="E7" s="3">
        <v>360000</v>
      </c>
      <c r="F7" t="s">
        <v>25</v>
      </c>
    </row>
    <row r="8" spans="1:9" x14ac:dyDescent="0.4">
      <c r="A8">
        <v>7</v>
      </c>
      <c r="B8" t="s">
        <v>8</v>
      </c>
      <c r="C8" s="2" t="s">
        <v>16</v>
      </c>
      <c r="D8" t="s">
        <v>20</v>
      </c>
      <c r="E8" s="4">
        <v>280000</v>
      </c>
      <c r="F8" t="s">
        <v>25</v>
      </c>
    </row>
    <row r="9" spans="1:9" x14ac:dyDescent="0.4">
      <c r="A9">
        <v>8</v>
      </c>
      <c r="B9" t="s">
        <v>9</v>
      </c>
      <c r="C9" s="2" t="s">
        <v>17</v>
      </c>
      <c r="D9" t="s">
        <v>21</v>
      </c>
      <c r="E9" s="4">
        <v>385000</v>
      </c>
      <c r="F9" t="s">
        <v>25</v>
      </c>
    </row>
    <row r="10" spans="1:9" x14ac:dyDescent="0.4">
      <c r="E10">
        <f>'قیمت تمام شده'!C2+'قیمت تمام شده'!D2</f>
        <v>600000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BA9E-1036-4EBE-B0EB-592F0E8DB167}">
  <dimension ref="A1:K12"/>
  <sheetViews>
    <sheetView rightToLeft="1" workbookViewId="0">
      <selection activeCell="K12" sqref="K12"/>
    </sheetView>
  </sheetViews>
  <sheetFormatPr defaultRowHeight="14.6" x14ac:dyDescent="0.4"/>
  <cols>
    <col min="1" max="1" width="15.765625" customWidth="1"/>
    <col min="2" max="2" width="8.15234375" customWidth="1"/>
    <col min="3" max="3" width="18" customWidth="1"/>
    <col min="4" max="4" width="19.4609375" customWidth="1"/>
    <col min="5" max="5" width="21.15234375" customWidth="1"/>
    <col min="6" max="7" width="15.4609375" customWidth="1"/>
  </cols>
  <sheetData>
    <row r="1" spans="1:11" x14ac:dyDescent="0.4">
      <c r="A1" s="6" t="s">
        <v>27</v>
      </c>
      <c r="B1" s="5" t="s">
        <v>10</v>
      </c>
      <c r="C1" s="5" t="s">
        <v>32</v>
      </c>
      <c r="D1" s="5" t="s">
        <v>28</v>
      </c>
      <c r="E1" s="5" t="s">
        <v>29</v>
      </c>
      <c r="F1" s="5" t="s">
        <v>30</v>
      </c>
      <c r="G1" s="7" t="s">
        <v>31</v>
      </c>
    </row>
    <row r="2" spans="1:11" ht="17.149999999999999" x14ac:dyDescent="0.7">
      <c r="A2" t="s">
        <v>24</v>
      </c>
      <c r="B2" s="10" t="s">
        <v>11</v>
      </c>
      <c r="C2" s="13">
        <v>500000</v>
      </c>
      <c r="D2" s="13">
        <v>100000</v>
      </c>
      <c r="E2" s="13">
        <v>100000</v>
      </c>
      <c r="F2" s="14">
        <f>SUM(C2:E2)</f>
        <v>700000</v>
      </c>
      <c r="G2" s="15">
        <f>Table1[[#This Row],[قیمت تمام شده]]+(Table1[[#This Row],[قیمت تمام شده]]*0.1)</f>
        <v>770000</v>
      </c>
    </row>
    <row r="3" spans="1:11" ht="17.149999999999999" x14ac:dyDescent="0.7">
      <c r="A3" t="s">
        <v>24</v>
      </c>
      <c r="B3" s="10" t="s">
        <v>18</v>
      </c>
      <c r="C3" s="13">
        <v>400000</v>
      </c>
      <c r="D3" s="13">
        <v>100000</v>
      </c>
      <c r="E3" s="13">
        <v>200000</v>
      </c>
      <c r="F3" s="14">
        <f t="shared" ref="F3:F9" si="0">SUM(C3:E3)</f>
        <v>700000</v>
      </c>
      <c r="G3" s="15">
        <f>Table1[[#This Row],[قیمت تمام شده]]+(Table1[[#This Row],[قیمت تمام شده]]*0.1)</f>
        <v>770000</v>
      </c>
    </row>
    <row r="4" spans="1:11" ht="17.149999999999999" x14ac:dyDescent="0.7">
      <c r="A4" t="s">
        <v>24</v>
      </c>
      <c r="B4" s="10" t="s">
        <v>12</v>
      </c>
      <c r="C4" s="13">
        <v>450000</v>
      </c>
      <c r="D4" s="13">
        <v>100000</v>
      </c>
      <c r="E4" s="13">
        <v>300000</v>
      </c>
      <c r="F4" s="14">
        <f t="shared" si="0"/>
        <v>850000</v>
      </c>
      <c r="G4" s="15">
        <f>Table1[[#This Row],[قیمت تمام شده]]+(Table1[[#This Row],[قیمت تمام شده]]*0.1)</f>
        <v>935000</v>
      </c>
    </row>
    <row r="5" spans="1:11" ht="17.149999999999999" x14ac:dyDescent="0.7">
      <c r="A5" t="s">
        <v>25</v>
      </c>
      <c r="B5" s="10" t="s">
        <v>13</v>
      </c>
      <c r="C5" s="13">
        <v>600000</v>
      </c>
      <c r="D5" s="13">
        <v>100000</v>
      </c>
      <c r="E5" s="13">
        <v>400000</v>
      </c>
      <c r="F5" s="14">
        <f t="shared" si="0"/>
        <v>1100000</v>
      </c>
      <c r="G5" s="15">
        <f>Table1[[#This Row],[قیمت تمام شده]]+(Table1[[#This Row],[قیمت تمام شده]]*0.1)</f>
        <v>1210000</v>
      </c>
    </row>
    <row r="6" spans="1:11" ht="17.149999999999999" x14ac:dyDescent="0.7">
      <c r="A6" t="s">
        <v>25</v>
      </c>
      <c r="B6" s="10" t="s">
        <v>14</v>
      </c>
      <c r="C6" s="13">
        <v>600000</v>
      </c>
      <c r="D6" s="13">
        <v>100000</v>
      </c>
      <c r="E6" s="13">
        <v>500000</v>
      </c>
      <c r="F6" s="14">
        <f t="shared" si="0"/>
        <v>1200000</v>
      </c>
      <c r="G6" s="15">
        <f>Table1[[#This Row],[قیمت تمام شده]]+(Table1[[#This Row],[قیمت تمام شده]]*0.1)</f>
        <v>1320000</v>
      </c>
    </row>
    <row r="7" spans="1:11" ht="17.149999999999999" x14ac:dyDescent="0.7">
      <c r="A7" t="s">
        <v>25</v>
      </c>
      <c r="B7" s="10" t="s">
        <v>15</v>
      </c>
      <c r="C7" s="13">
        <v>700000</v>
      </c>
      <c r="D7" s="13">
        <v>100000</v>
      </c>
      <c r="E7" s="13">
        <v>600000</v>
      </c>
      <c r="F7" s="14">
        <f t="shared" si="0"/>
        <v>1400000</v>
      </c>
      <c r="G7" s="15">
        <f>Table1[[#This Row],[قیمت تمام شده]]+(Table1[[#This Row],[قیمت تمام شده]]*0.1)</f>
        <v>1540000</v>
      </c>
    </row>
    <row r="8" spans="1:11" ht="17.149999999999999" x14ac:dyDescent="0.7">
      <c r="A8" t="s">
        <v>25</v>
      </c>
      <c r="B8" s="10" t="s">
        <v>16</v>
      </c>
      <c r="C8" s="13">
        <v>700000</v>
      </c>
      <c r="D8" s="13">
        <v>100000</v>
      </c>
      <c r="E8" s="13">
        <v>700000</v>
      </c>
      <c r="F8" s="14">
        <f t="shared" si="0"/>
        <v>1500000</v>
      </c>
      <c r="G8" s="15">
        <f>Table1[[#This Row],[قیمت تمام شده]]+(Table1[[#This Row],[قیمت تمام شده]]*0.1)</f>
        <v>1650000</v>
      </c>
      <c r="J8">
        <v>785678</v>
      </c>
    </row>
    <row r="9" spans="1:11" ht="17.149999999999999" x14ac:dyDescent="0.7">
      <c r="A9" t="s">
        <v>25</v>
      </c>
      <c r="B9" s="10" t="s">
        <v>17</v>
      </c>
      <c r="C9" s="13">
        <v>550000</v>
      </c>
      <c r="D9" s="13">
        <v>100000</v>
      </c>
      <c r="E9" s="13">
        <v>800000</v>
      </c>
      <c r="F9" s="14">
        <f t="shared" si="0"/>
        <v>1450000</v>
      </c>
      <c r="G9" s="15">
        <f>Table1[[#This Row],[قیمت تمام شده]]+(Table1[[#This Row],[قیمت تمام شده]]*0.1)</f>
        <v>1595000</v>
      </c>
    </row>
    <row r="10" spans="1:11" x14ac:dyDescent="0.4">
      <c r="B10" s="8"/>
      <c r="C10" s="8"/>
      <c r="D10" s="8"/>
      <c r="E10" s="8"/>
      <c r="F10" s="8"/>
      <c r="G10" s="12"/>
      <c r="K10">
        <v>23775</v>
      </c>
    </row>
    <row r="11" spans="1:11" x14ac:dyDescent="0.4">
      <c r="A11" s="16"/>
      <c r="B11" s="8"/>
      <c r="C11" s="8"/>
      <c r="D11" s="8"/>
      <c r="E11" s="8"/>
      <c r="F11" s="8"/>
      <c r="G11" s="17"/>
      <c r="I11">
        <v>7946</v>
      </c>
    </row>
    <row r="12" spans="1:11" x14ac:dyDescent="0.4">
      <c r="A12" s="11"/>
      <c r="B12" s="9"/>
      <c r="C12" s="9"/>
      <c r="D12" s="9"/>
      <c r="E12" s="9"/>
      <c r="F12" s="9"/>
      <c r="G12" s="1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0CE5-1F47-4CFD-9449-234A3A50DE61}">
  <dimension ref="A1:D10"/>
  <sheetViews>
    <sheetView rightToLeft="1" workbookViewId="0">
      <selection activeCell="C10" sqref="C10"/>
    </sheetView>
  </sheetViews>
  <sheetFormatPr defaultRowHeight="14.6" x14ac:dyDescent="0.4"/>
  <cols>
    <col min="1" max="1" width="11.61328125" customWidth="1"/>
    <col min="2" max="2" width="22.23046875" customWidth="1"/>
    <col min="3" max="3" width="17.84375" customWidth="1"/>
    <col min="4" max="4" width="26.23046875" customWidth="1"/>
  </cols>
  <sheetData>
    <row r="1" spans="1:4" ht="15.45" thickTop="1" thickBot="1" x14ac:dyDescent="0.45">
      <c r="A1" s="23" t="s">
        <v>42</v>
      </c>
      <c r="B1" s="24">
        <v>0.1</v>
      </c>
    </row>
    <row r="2" spans="1:4" ht="15.45" thickTop="1" thickBot="1" x14ac:dyDescent="0.45">
      <c r="A2" s="34" t="s">
        <v>34</v>
      </c>
      <c r="B2" s="34"/>
      <c r="C2" s="34"/>
      <c r="D2" s="34"/>
    </row>
    <row r="3" spans="1:4" ht="15.45" thickTop="1" thickBot="1" x14ac:dyDescent="0.45">
      <c r="A3" s="19" t="s">
        <v>35</v>
      </c>
      <c r="B3" s="19" t="s">
        <v>36</v>
      </c>
      <c r="C3" s="19" t="s">
        <v>37</v>
      </c>
      <c r="D3" s="19" t="s">
        <v>38</v>
      </c>
    </row>
    <row r="4" spans="1:4" ht="15.45" thickTop="1" thickBot="1" x14ac:dyDescent="0.45">
      <c r="A4" s="20" t="s">
        <v>39</v>
      </c>
      <c r="B4" s="21">
        <v>12</v>
      </c>
      <c r="C4" s="22">
        <v>100000</v>
      </c>
      <c r="D4" s="26">
        <f>(B4*C4)-(B4*C4)*$B$1</f>
        <v>1080000</v>
      </c>
    </row>
    <row r="5" spans="1:4" ht="15.45" thickTop="1" thickBot="1" x14ac:dyDescent="0.45">
      <c r="A5" s="20" t="s">
        <v>40</v>
      </c>
      <c r="B5" s="21">
        <v>23</v>
      </c>
      <c r="C5" s="22">
        <v>160000</v>
      </c>
      <c r="D5" s="26">
        <f t="shared" ref="D5:D7" si="0">(B5*C5)-(B5*C5)*$B$1</f>
        <v>3312000</v>
      </c>
    </row>
    <row r="6" spans="1:4" ht="15.45" thickTop="1" thickBot="1" x14ac:dyDescent="0.45">
      <c r="A6" s="20" t="s">
        <v>41</v>
      </c>
      <c r="B6" s="21">
        <v>45</v>
      </c>
      <c r="C6" s="22">
        <v>120000</v>
      </c>
      <c r="D6" s="26">
        <f t="shared" si="0"/>
        <v>4860000</v>
      </c>
    </row>
    <row r="7" spans="1:4" ht="15.45" thickTop="1" thickBot="1" x14ac:dyDescent="0.45">
      <c r="A7" s="20" t="s">
        <v>43</v>
      </c>
      <c r="B7" s="21">
        <v>16</v>
      </c>
      <c r="C7" s="22">
        <v>170000000</v>
      </c>
      <c r="D7" s="26">
        <f t="shared" si="0"/>
        <v>2448000000</v>
      </c>
    </row>
    <row r="8" spans="1:4" ht="15" thickTop="1" x14ac:dyDescent="0.4"/>
    <row r="10" spans="1:4" x14ac:dyDescent="0.4">
      <c r="C10" s="25"/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EF27-2425-4169-840E-ECF3F4520E80}">
  <dimension ref="A1:H13"/>
  <sheetViews>
    <sheetView rightToLeft="1" tabSelected="1" workbookViewId="0">
      <selection activeCell="H12" sqref="H12"/>
    </sheetView>
  </sheetViews>
  <sheetFormatPr defaultRowHeight="14.6" x14ac:dyDescent="0.4"/>
  <cols>
    <col min="2" max="2" width="17.61328125" customWidth="1"/>
    <col min="4" max="5" width="11.69140625" bestFit="1" customWidth="1"/>
  </cols>
  <sheetData>
    <row r="1" spans="1:8" ht="15" thickBot="1" x14ac:dyDescent="0.45">
      <c r="A1" s="32" t="s">
        <v>44</v>
      </c>
      <c r="B1" s="32"/>
      <c r="C1" s="32"/>
      <c r="D1" s="32"/>
      <c r="E1" s="32"/>
    </row>
    <row r="2" spans="1:8" ht="15" thickBot="1" x14ac:dyDescent="0.45">
      <c r="A2" s="27" t="s">
        <v>0</v>
      </c>
      <c r="B2" s="28" t="s">
        <v>45</v>
      </c>
      <c r="C2" s="28" t="s">
        <v>46</v>
      </c>
      <c r="D2" s="28" t="s">
        <v>47</v>
      </c>
      <c r="E2" s="28" t="s">
        <v>48</v>
      </c>
      <c r="G2" s="32" t="s">
        <v>44</v>
      </c>
      <c r="H2" s="32"/>
    </row>
    <row r="3" spans="1:8" ht="17.600000000000001" thickBot="1" x14ac:dyDescent="0.75">
      <c r="A3" s="29">
        <v>1</v>
      </c>
      <c r="B3" s="30" t="s">
        <v>57</v>
      </c>
      <c r="C3" s="31">
        <v>2</v>
      </c>
      <c r="D3" s="36">
        <v>110000</v>
      </c>
      <c r="E3" s="37">
        <f>D3*C3</f>
        <v>220000</v>
      </c>
      <c r="G3" s="28" t="s">
        <v>54</v>
      </c>
      <c r="H3" s="30"/>
    </row>
    <row r="4" spans="1:8" ht="17.600000000000001" thickBot="1" x14ac:dyDescent="0.75">
      <c r="A4" s="29">
        <v>2</v>
      </c>
      <c r="B4" s="30" t="s">
        <v>49</v>
      </c>
      <c r="C4" s="31">
        <v>1</v>
      </c>
      <c r="D4" s="36">
        <v>200000</v>
      </c>
      <c r="E4" s="37">
        <f t="shared" ref="E4:E5" si="0">D4*C4</f>
        <v>200000</v>
      </c>
      <c r="G4" s="28" t="s">
        <v>55</v>
      </c>
      <c r="H4" s="30"/>
    </row>
    <row r="5" spans="1:8" ht="17.600000000000001" thickBot="1" x14ac:dyDescent="0.75">
      <c r="A5" s="29">
        <v>3</v>
      </c>
      <c r="B5" s="30" t="s">
        <v>50</v>
      </c>
      <c r="C5" s="31">
        <v>1</v>
      </c>
      <c r="D5" s="36">
        <v>70000</v>
      </c>
      <c r="E5" s="37">
        <f t="shared" si="0"/>
        <v>70000</v>
      </c>
      <c r="G5" s="28" t="s">
        <v>56</v>
      </c>
      <c r="H5" s="30"/>
    </row>
    <row r="6" spans="1:8" ht="17.600000000000001" thickBot="1" x14ac:dyDescent="0.75">
      <c r="A6" s="30"/>
      <c r="B6" s="30"/>
      <c r="C6" s="30"/>
      <c r="D6" s="30"/>
      <c r="E6" s="31"/>
    </row>
    <row r="7" spans="1:8" ht="17.600000000000001" thickBot="1" x14ac:dyDescent="0.75">
      <c r="A7" s="30"/>
      <c r="B7" s="30"/>
      <c r="C7" s="30"/>
      <c r="D7" s="30"/>
      <c r="E7" s="31"/>
    </row>
    <row r="8" spans="1:8" ht="17.600000000000001" thickBot="1" x14ac:dyDescent="0.75">
      <c r="A8" s="30"/>
      <c r="B8" s="30"/>
      <c r="C8" s="30"/>
      <c r="D8" s="30"/>
      <c r="E8" s="31"/>
    </row>
    <row r="9" spans="1:8" ht="17.600000000000001" thickBot="1" x14ac:dyDescent="0.75">
      <c r="A9" s="30"/>
      <c r="B9" s="30"/>
      <c r="C9" s="30"/>
      <c r="D9" s="30"/>
      <c r="E9" s="31"/>
    </row>
    <row r="10" spans="1:8" ht="17.600000000000001" thickBot="1" x14ac:dyDescent="0.75">
      <c r="A10" s="30"/>
      <c r="B10" s="30"/>
      <c r="C10" s="30"/>
      <c r="D10" s="30"/>
      <c r="E10" s="31"/>
    </row>
    <row r="11" spans="1:8" ht="17.600000000000001" thickBot="1" x14ac:dyDescent="0.75">
      <c r="A11" s="33" t="s">
        <v>51</v>
      </c>
      <c r="B11" s="33"/>
      <c r="C11" s="33"/>
      <c r="D11" s="33"/>
      <c r="E11" s="37">
        <f>SUM(E3:E5)</f>
        <v>490000</v>
      </c>
    </row>
    <row r="12" spans="1:8" ht="17.600000000000001" thickBot="1" x14ac:dyDescent="0.75">
      <c r="A12" s="33" t="s">
        <v>52</v>
      </c>
      <c r="B12" s="33"/>
      <c r="C12" s="33"/>
      <c r="D12" s="33"/>
      <c r="E12" s="35">
        <f>IF(E11&gt;20000000,10%,5%)</f>
        <v>0.05</v>
      </c>
    </row>
    <row r="13" spans="1:8" ht="17.600000000000001" thickBot="1" x14ac:dyDescent="0.75">
      <c r="A13" s="33" t="s">
        <v>53</v>
      </c>
      <c r="B13" s="33"/>
      <c r="C13" s="33"/>
      <c r="D13" s="33"/>
      <c r="E13" s="37">
        <f>E11-E11*E12</f>
        <v>465500</v>
      </c>
    </row>
  </sheetData>
  <mergeCells count="5">
    <mergeCell ref="A1:E1"/>
    <mergeCell ref="A11:D11"/>
    <mergeCell ref="A12:D12"/>
    <mergeCell ref="A13:D13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قیمت تمام شده</vt:lpstr>
      <vt:lpstr>حق‌الزحمه</vt:lpstr>
      <vt:lpstr> فاکتور فروش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abedi</dc:creator>
  <cp:lastModifiedBy>amir abedi</cp:lastModifiedBy>
  <dcterms:created xsi:type="dcterms:W3CDTF">2026-10-21T08:43:20Z</dcterms:created>
  <dcterms:modified xsi:type="dcterms:W3CDTF">2026-10-30T09:36:42Z</dcterms:modified>
</cp:coreProperties>
</file>